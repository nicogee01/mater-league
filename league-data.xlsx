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ba65d159c4500d/Desktop/Nicolas Folder/Work/Excel/Fantasy Soccer/"/>
    </mc:Choice>
  </mc:AlternateContent>
  <xr:revisionPtr revIDLastSave="38" documentId="8_{5C16C4EC-6E79-4FAA-ADB2-319885C4C91A}" xr6:coauthVersionLast="47" xr6:coauthVersionMax="47" xr10:uidLastSave="{047D29C5-2E99-4724-9A44-84466D066E1D}"/>
  <bookViews>
    <workbookView xWindow="-120" yWindow="-120" windowWidth="38640" windowHeight="21120" activeTab="1" xr2:uid="{D9336D12-E46F-4D57-BE81-BE832F455B7E}"/>
  </bookViews>
  <sheets>
    <sheet name="Teams" sheetId="1" r:id="rId1"/>
    <sheet name="Matchups" sheetId="2" r:id="rId2"/>
    <sheet name="Cup" sheetId="3" r:id="rId3"/>
    <sheet name="Waivers" sheetId="4" r:id="rId4"/>
    <sheet name="Sheet1" sheetId="5" r:id="rId5"/>
  </sheet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5" l="1"/>
  <c r="F5" i="5" s="1"/>
  <c r="E6" i="5"/>
  <c r="E7" i="5"/>
  <c r="F7" i="5" s="1"/>
  <c r="E8" i="5"/>
  <c r="F8" i="5" s="1"/>
  <c r="E9" i="5"/>
  <c r="F9" i="5" s="1"/>
  <c r="E10" i="5"/>
  <c r="F10" i="5" s="1"/>
  <c r="E11" i="5"/>
  <c r="F11" i="5" s="1"/>
  <c r="E12" i="5"/>
  <c r="F12" i="5" s="1"/>
  <c r="D6" i="5"/>
  <c r="D12" i="5"/>
  <c r="D11" i="5"/>
  <c r="D10" i="5"/>
  <c r="D9" i="5"/>
  <c r="D8" i="5"/>
  <c r="D7" i="5"/>
  <c r="D5" i="5"/>
  <c r="F6" i="5" l="1"/>
</calcChain>
</file>

<file path=xl/sharedStrings.xml><?xml version="1.0" encoding="utf-8"?>
<sst xmlns="http://schemas.openxmlformats.org/spreadsheetml/2006/main" count="140" uniqueCount="119">
  <si>
    <t>ID</t>
  </si>
  <si>
    <t>Team</t>
  </si>
  <si>
    <t>Manager</t>
  </si>
  <si>
    <t>Elliot Anderson FC</t>
  </si>
  <si>
    <t>Nico</t>
  </si>
  <si>
    <t>Up the Guppys</t>
  </si>
  <si>
    <t>Maje</t>
  </si>
  <si>
    <t>Team GlenM22</t>
  </si>
  <si>
    <t>Glen</t>
  </si>
  <si>
    <t>Wonkeeland's Finest</t>
  </si>
  <si>
    <t>Trevor</t>
  </si>
  <si>
    <t>King Abes</t>
  </si>
  <si>
    <t>David</t>
  </si>
  <si>
    <t>Team BottomCap</t>
  </si>
  <si>
    <t>Camilo</t>
  </si>
  <si>
    <t>Austin</t>
  </si>
  <si>
    <t>Pep's Retirement Fund</t>
  </si>
  <si>
    <t>Team Nictrn</t>
  </si>
  <si>
    <t>Nick</t>
  </si>
  <si>
    <t>Week</t>
  </si>
  <si>
    <t>a_team_id</t>
  </si>
  <si>
    <t>b_team_id</t>
  </si>
  <si>
    <t>match_id</t>
  </si>
  <si>
    <t>a_team_score</t>
  </si>
  <si>
    <t>b_team_score</t>
  </si>
  <si>
    <t>Round</t>
  </si>
  <si>
    <t>QF</t>
  </si>
  <si>
    <t>Leg</t>
  </si>
  <si>
    <t>home_team_id</t>
  </si>
  <si>
    <t>away_team_id</t>
  </si>
  <si>
    <t>transaction_id</t>
  </si>
  <si>
    <t>date</t>
  </si>
  <si>
    <t>Player</t>
  </si>
  <si>
    <t>FAAB</t>
  </si>
  <si>
    <t>team_id</t>
  </si>
  <si>
    <t>Jaka Bijol</t>
  </si>
  <si>
    <t>Mamadou Sangaré</t>
  </si>
  <si>
    <t>Jack Hinshelwood</t>
  </si>
  <si>
    <t>Ola Aina</t>
  </si>
  <si>
    <t>Amar Dedic</t>
  </si>
  <si>
    <t>Lukáš Horníček</t>
  </si>
  <si>
    <t>Matias Fernandez-Pardo</t>
  </si>
  <si>
    <t>Daizen Maeda</t>
  </si>
  <si>
    <t>Ross Barkley</t>
  </si>
  <si>
    <t>Bradley Barcola</t>
  </si>
  <si>
    <t>Oliver McBurnie</t>
  </si>
  <si>
    <t>Justin Kluivert</t>
  </si>
  <si>
    <t>Tyrique George</t>
  </si>
  <si>
    <t>Ayyoub Bouaddi</t>
  </si>
  <si>
    <t>Konstantinos Tzolakis</t>
  </si>
  <si>
    <t>Keane Lewis-Potter</t>
  </si>
  <si>
    <t>Nobel Mendy</t>
  </si>
  <si>
    <t>Vitaly Janelt</t>
  </si>
  <si>
    <t>Emersonn</t>
  </si>
  <si>
    <t>Mykhailo Mudryk</t>
  </si>
  <si>
    <t>Semi Ajayi</t>
  </si>
  <si>
    <t>Ibrahim Mbaye</t>
  </si>
  <si>
    <t>Malick Fofana</t>
  </si>
  <si>
    <t>James Justin</t>
  </si>
  <si>
    <t>Julian Alvarez</t>
  </si>
  <si>
    <t>Lee Davis</t>
  </si>
  <si>
    <t>Mohamed Belloumi</t>
  </si>
  <si>
    <t>Lewis Hall</t>
  </si>
  <si>
    <t>Jarrad Branthwaite</t>
  </si>
  <si>
    <t>Julio Enciso</t>
  </si>
  <si>
    <t>Oscar Bobb</t>
  </si>
  <si>
    <t>Leon Goretzka</t>
  </si>
  <si>
    <t>Abdul Fatawu</t>
  </si>
  <si>
    <t>Home_team_points</t>
  </si>
  <si>
    <t>Away_team_points</t>
  </si>
  <si>
    <t>James Mcatee</t>
  </si>
  <si>
    <t>Exequiel Palacios</t>
  </si>
  <si>
    <t>Favorite_Team</t>
  </si>
  <si>
    <t>Manchester City</t>
  </si>
  <si>
    <t>Arsenal</t>
  </si>
  <si>
    <t>West Ham</t>
  </si>
  <si>
    <t>Spurs</t>
  </si>
  <si>
    <t>Chelsea</t>
  </si>
  <si>
    <t>Brighton</t>
  </si>
  <si>
    <t>League_week</t>
  </si>
  <si>
    <t>Week 19</t>
  </si>
  <si>
    <t>Week 20</t>
  </si>
  <si>
    <t>Week 22</t>
  </si>
  <si>
    <t>Week 23</t>
  </si>
  <si>
    <t>Week 25</t>
  </si>
  <si>
    <t>Week 26</t>
  </si>
  <si>
    <t>Week 28</t>
  </si>
  <si>
    <t>Week 29</t>
  </si>
  <si>
    <t>Week 31</t>
  </si>
  <si>
    <t>Week 32</t>
  </si>
  <si>
    <t>Week 34</t>
  </si>
  <si>
    <t>Week 35</t>
  </si>
  <si>
    <t>Week 37</t>
  </si>
  <si>
    <t>Week 38</t>
  </si>
  <si>
    <t>SF</t>
  </si>
  <si>
    <t>Final</t>
  </si>
  <si>
    <t>Home_team_best_lineup</t>
  </si>
  <si>
    <t>Away_team_best_lineup</t>
  </si>
  <si>
    <t>display_name</t>
  </si>
  <si>
    <t>nicog01</t>
  </si>
  <si>
    <t>officialmaje</t>
  </si>
  <si>
    <t>glenm22</t>
  </si>
  <si>
    <t>austinclifton</t>
  </si>
  <si>
    <t>kingabes</t>
  </si>
  <si>
    <t>bottomcap</t>
  </si>
  <si>
    <t>treyclif3</t>
  </si>
  <si>
    <t>nictrn</t>
  </si>
  <si>
    <t>Viktor Mykolenko</t>
  </si>
  <si>
    <t>Josh King</t>
  </si>
  <si>
    <t>Malick Yalcouye</t>
  </si>
  <si>
    <t>Jack Rudoni</t>
  </si>
  <si>
    <t>Murillo</t>
  </si>
  <si>
    <t>Daichi Kamada</t>
  </si>
  <si>
    <t>Regan Slater</t>
  </si>
  <si>
    <t>(blank)</t>
  </si>
  <si>
    <t>Grand Total</t>
  </si>
  <si>
    <t>Max_Points</t>
  </si>
  <si>
    <t>Sum of Home_team_best_lineup</t>
  </si>
  <si>
    <t>Sum of Away_team_best_lineup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</si>
</sst>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t Nico" refreshedDate="46280.663731828703" createdVersion="8" refreshedVersion="8" minRefreshableVersion="3" recordCount="17" xr:uid="{C533F88C-EC2B-4150-ACB7-2F4E1995CCF2}">
  <cacheSource type="worksheet">
    <worksheetSource ref="A1:G1048576" sheet="Matchups"/>
  </cacheSource>
  <cacheFields count="7">
    <cacheField name="home_team_id" numFmtId="0">
      <sharedItems containsString="0" containsBlank="1" containsNumber="1" containsInteger="1" minValue="1" maxValue="8" count="9">
        <n v="1"/>
        <n v="5"/>
        <n v="7"/>
        <n v="8"/>
        <n v="4"/>
        <n v="6"/>
        <n v="3"/>
        <n v="2"/>
        <m/>
      </sharedItems>
    </cacheField>
    <cacheField name="away_team_id" numFmtId="0">
      <sharedItems containsString="0" containsBlank="1" containsNumber="1" containsInteger="1" minValue="1" maxValue="8" count="9">
        <n v="3"/>
        <n v="4"/>
        <n v="2"/>
        <n v="6"/>
        <n v="8"/>
        <n v="5"/>
        <n v="7"/>
        <n v="1"/>
        <m/>
      </sharedItems>
    </cacheField>
    <cacheField name="Home_team_points" numFmtId="0">
      <sharedItems containsString="0" containsBlank="1" containsNumber="1" minValue="62.25" maxValue="166.5" count="17">
        <n v="99.5"/>
        <n v="107.5"/>
        <n v="79.75"/>
        <n v="118.25"/>
        <n v="75"/>
        <n v="106"/>
        <n v="103.25"/>
        <n v="157.5"/>
        <n v="62.25"/>
        <n v="96"/>
        <n v="96.25"/>
        <n v="97.75"/>
        <n v="107.75"/>
        <n v="166.5"/>
        <n v="136.75"/>
        <n v="90.75"/>
        <m/>
      </sharedItems>
    </cacheField>
    <cacheField name="Away_team_points" numFmtId="0">
      <sharedItems containsString="0" containsBlank="1" containsNumber="1" minValue="71.5" maxValue="131.25"/>
    </cacheField>
    <cacheField name="Home_team_best_lineup" numFmtId="0">
      <sharedItems containsString="0" containsBlank="1" containsNumber="1" minValue="75" maxValue="171"/>
    </cacheField>
    <cacheField name="Away_team_best_lineup" numFmtId="0">
      <sharedItems containsString="0" containsBlank="1" containsNumber="1" minValue="79.5" maxValue="135.5" count="13">
        <n v="83.75"/>
        <n v="88.25"/>
        <n v="79.5"/>
        <n v="129.75"/>
        <n v="127.75"/>
        <n v="123.25"/>
        <n v="100.5"/>
        <n v="135.5"/>
        <n v="120.75"/>
        <n v="116.75"/>
        <n v="124.75"/>
        <n v="116.5"/>
        <m/>
      </sharedItems>
    </cacheField>
    <cacheField name="Week" numFmtId="0">
      <sharedItems containsString="0" containsBlank="1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x v="0"/>
    <n v="71.5"/>
    <n v="149.75"/>
    <x v="0"/>
    <n v="1"/>
  </r>
  <r>
    <x v="1"/>
    <x v="1"/>
    <x v="1"/>
    <n v="80.5"/>
    <n v="115.25"/>
    <x v="1"/>
    <n v="1"/>
  </r>
  <r>
    <x v="2"/>
    <x v="2"/>
    <x v="2"/>
    <n v="76"/>
    <n v="101"/>
    <x v="2"/>
    <n v="1"/>
  </r>
  <r>
    <x v="3"/>
    <x v="3"/>
    <x v="3"/>
    <n v="111.25"/>
    <n v="132"/>
    <x v="3"/>
    <n v="1"/>
  </r>
  <r>
    <x v="0"/>
    <x v="4"/>
    <x v="4"/>
    <n v="97.25"/>
    <n v="94.75"/>
    <x v="4"/>
    <n v="2"/>
  </r>
  <r>
    <x v="4"/>
    <x v="2"/>
    <x v="5"/>
    <n v="98.25"/>
    <n v="135.25"/>
    <x v="5"/>
    <n v="2"/>
  </r>
  <r>
    <x v="2"/>
    <x v="0"/>
    <x v="6"/>
    <n v="95"/>
    <n v="145.25"/>
    <x v="6"/>
    <n v="2"/>
  </r>
  <r>
    <x v="5"/>
    <x v="5"/>
    <x v="7"/>
    <n v="131.25"/>
    <n v="171"/>
    <x v="7"/>
    <n v="2"/>
  </r>
  <r>
    <x v="0"/>
    <x v="5"/>
    <x v="8"/>
    <n v="103.75"/>
    <n v="75"/>
    <x v="8"/>
    <n v="3"/>
  </r>
  <r>
    <x v="4"/>
    <x v="6"/>
    <x v="9"/>
    <n v="101.75"/>
    <n v="134"/>
    <x v="9"/>
    <n v="3"/>
  </r>
  <r>
    <x v="6"/>
    <x v="4"/>
    <x v="10"/>
    <n v="92.5"/>
    <n v="104.75"/>
    <x v="10"/>
    <n v="3"/>
  </r>
  <r>
    <x v="7"/>
    <x v="3"/>
    <x v="11"/>
    <n v="91.5"/>
    <n v="132.25"/>
    <x v="11"/>
    <n v="3"/>
  </r>
  <r>
    <x v="7"/>
    <x v="7"/>
    <x v="12"/>
    <n v="80.75"/>
    <m/>
    <x v="12"/>
    <m/>
  </r>
  <r>
    <x v="4"/>
    <x v="3"/>
    <x v="13"/>
    <n v="96"/>
    <m/>
    <x v="12"/>
    <m/>
  </r>
  <r>
    <x v="2"/>
    <x v="4"/>
    <x v="14"/>
    <n v="78.5"/>
    <m/>
    <x v="12"/>
    <m/>
  </r>
  <r>
    <x v="6"/>
    <x v="5"/>
    <x v="15"/>
    <n v="78.25"/>
    <m/>
    <x v="12"/>
    <m/>
  </r>
  <r>
    <x v="8"/>
    <x v="8"/>
    <x v="16"/>
    <m/>
    <m/>
    <x v="1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13F23-70FF-498B-9A36-6D46F762FCC0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4:B24" firstHeaderRow="1" firstDataRow="1" firstDataCol="1"/>
  <pivotFields count="7">
    <pivotField compact="0" outline="0" showAll="0" defaultSubtotal="0">
      <items count="9">
        <item x="0"/>
        <item x="7"/>
        <item x="6"/>
        <item x="4"/>
        <item x="1"/>
        <item x="5"/>
        <item x="2"/>
        <item x="3"/>
        <item x="8"/>
      </items>
    </pivotField>
    <pivotField axis="axisRow" compact="0" outline="0" showAll="0" defaultSubtotal="0">
      <items count="9">
        <item x="7"/>
        <item x="2"/>
        <item x="0"/>
        <item x="1"/>
        <item x="5"/>
        <item x="3"/>
        <item x="6"/>
        <item x="4"/>
        <item x="8"/>
      </items>
    </pivotField>
    <pivotField compact="0" outline="0" showAll="0" defaultSubtotal="0">
      <items count="17">
        <item x="8"/>
        <item x="4"/>
        <item x="2"/>
        <item x="15"/>
        <item x="9"/>
        <item x="10"/>
        <item x="11"/>
        <item x="0"/>
        <item x="6"/>
        <item x="5"/>
        <item x="1"/>
        <item x="12"/>
        <item x="3"/>
        <item x="14"/>
        <item x="7"/>
        <item x="13"/>
        <item x="16"/>
      </items>
    </pivotField>
    <pivotField compact="0" outline="0" showAll="0" defaultSubtotal="0"/>
    <pivotField compact="0" outline="0" showAll="0" defaultSubtotal="0"/>
    <pivotField dataField="1" compact="0" outline="0" showAll="0" defaultSubtotal="0">
      <items count="13">
        <item x="2"/>
        <item x="0"/>
        <item x="1"/>
        <item x="6"/>
        <item x="11"/>
        <item x="9"/>
        <item x="8"/>
        <item x="5"/>
        <item x="10"/>
        <item x="4"/>
        <item x="3"/>
        <item x="7"/>
        <item x="12"/>
      </items>
    </pivotField>
    <pivotField compact="0" outline="0" showAll="0" defaultSubtota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way_team_best_lineup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863126-9418-4AD3-9369-A24D7428D31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11" firstHeaderRow="1" firstDataRow="1" firstDataCol="1"/>
  <pivotFields count="7">
    <pivotField axis="axisRow" compact="0" outline="0" showAll="0" defaultSubtotal="0">
      <items count="9">
        <item x="0"/>
        <item x="7"/>
        <item x="6"/>
        <item x="4"/>
        <item x="1"/>
        <item x="5"/>
        <item x="2"/>
        <item x="3"/>
        <item x="8"/>
      </items>
    </pivotField>
    <pivotField compact="0" outline="0" showAll="0" defaultSubtotal="0"/>
    <pivotField compact="0" outline="0" showAll="0" defaultSubtotal="0">
      <items count="17">
        <item x="8"/>
        <item x="4"/>
        <item x="2"/>
        <item x="15"/>
        <item x="9"/>
        <item x="10"/>
        <item x="11"/>
        <item x="0"/>
        <item x="6"/>
        <item x="5"/>
        <item x="1"/>
        <item x="12"/>
        <item x="3"/>
        <item x="14"/>
        <item x="7"/>
        <item x="13"/>
        <item x="16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Home_team_best_lineup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4477-F8B8-4C54-8D52-90DE47CC4CEE}">
  <dimension ref="A1:F9"/>
  <sheetViews>
    <sheetView zoomScale="220" zoomScaleNormal="220" workbookViewId="0">
      <selection activeCell="F3" sqref="F3"/>
    </sheetView>
  </sheetViews>
  <sheetFormatPr defaultRowHeight="15" x14ac:dyDescent="0.25"/>
  <cols>
    <col min="2" max="2" width="19.7109375" bestFit="1" customWidth="1"/>
    <col min="4" max="4" width="14.28515625" customWidth="1"/>
    <col min="5" max="5" width="19" customWidth="1"/>
    <col min="6" max="6" width="1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98</v>
      </c>
      <c r="E1" t="s">
        <v>72</v>
      </c>
      <c r="F1" t="s">
        <v>116</v>
      </c>
    </row>
    <row r="2" spans="1:6" x14ac:dyDescent="0.25">
      <c r="A2">
        <v>1</v>
      </c>
      <c r="B2" t="s">
        <v>3</v>
      </c>
      <c r="C2" t="s">
        <v>4</v>
      </c>
      <c r="D2" t="s">
        <v>99</v>
      </c>
      <c r="E2" t="s">
        <v>73</v>
      </c>
      <c r="F2">
        <v>433.5</v>
      </c>
    </row>
    <row r="3" spans="1:6" x14ac:dyDescent="0.25">
      <c r="A3">
        <v>2</v>
      </c>
      <c r="B3" t="s">
        <v>5</v>
      </c>
      <c r="C3" t="s">
        <v>6</v>
      </c>
      <c r="D3" t="s">
        <v>100</v>
      </c>
      <c r="E3" t="s">
        <v>74</v>
      </c>
      <c r="F3">
        <v>456.75</v>
      </c>
    </row>
    <row r="4" spans="1:6" x14ac:dyDescent="0.25">
      <c r="A4">
        <v>3</v>
      </c>
      <c r="B4" t="s">
        <v>7</v>
      </c>
      <c r="C4" t="s">
        <v>8</v>
      </c>
      <c r="D4" t="s">
        <v>101</v>
      </c>
      <c r="E4" t="s">
        <v>75</v>
      </c>
      <c r="F4">
        <v>406.25</v>
      </c>
    </row>
    <row r="5" spans="1:6" x14ac:dyDescent="0.25">
      <c r="A5">
        <v>4</v>
      </c>
      <c r="B5" t="s">
        <v>9</v>
      </c>
      <c r="C5" t="s">
        <v>15</v>
      </c>
      <c r="D5" t="s">
        <v>102</v>
      </c>
      <c r="E5" t="s">
        <v>76</v>
      </c>
      <c r="F5">
        <v>540.5</v>
      </c>
    </row>
    <row r="6" spans="1:6" x14ac:dyDescent="0.25">
      <c r="A6">
        <v>5</v>
      </c>
      <c r="B6" t="s">
        <v>11</v>
      </c>
      <c r="C6" t="s">
        <v>12</v>
      </c>
      <c r="D6" t="s">
        <v>103</v>
      </c>
      <c r="E6" t="s">
        <v>78</v>
      </c>
      <c r="F6">
        <v>471</v>
      </c>
    </row>
    <row r="7" spans="1:6" x14ac:dyDescent="0.25">
      <c r="A7">
        <v>6</v>
      </c>
      <c r="B7" t="s">
        <v>13</v>
      </c>
      <c r="C7" t="s">
        <v>14</v>
      </c>
      <c r="D7" t="s">
        <v>104</v>
      </c>
      <c r="E7" t="s">
        <v>77</v>
      </c>
      <c r="F7">
        <v>556.75</v>
      </c>
    </row>
    <row r="8" spans="1:6" x14ac:dyDescent="0.25">
      <c r="A8">
        <v>7</v>
      </c>
      <c r="B8" t="s">
        <v>16</v>
      </c>
      <c r="C8" t="s">
        <v>10</v>
      </c>
      <c r="D8" t="s">
        <v>105</v>
      </c>
      <c r="E8" t="s">
        <v>77</v>
      </c>
      <c r="F8">
        <v>525.25</v>
      </c>
    </row>
    <row r="9" spans="1:6" x14ac:dyDescent="0.25">
      <c r="A9">
        <v>8</v>
      </c>
      <c r="B9" t="s">
        <v>17</v>
      </c>
      <c r="C9" t="s">
        <v>18</v>
      </c>
      <c r="D9" t="s">
        <v>106</v>
      </c>
      <c r="E9" t="s">
        <v>74</v>
      </c>
      <c r="F9">
        <v>490.25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DA112-4455-493F-9D63-4B72BBDFDC28}">
  <dimension ref="A1:G17"/>
  <sheetViews>
    <sheetView tabSelected="1" zoomScale="175" zoomScaleNormal="175" workbookViewId="0">
      <selection activeCell="H15" sqref="H15"/>
    </sheetView>
  </sheetViews>
  <sheetFormatPr defaultRowHeight="15" x14ac:dyDescent="0.25"/>
  <cols>
    <col min="1" max="4" width="16.28515625" style="3" customWidth="1"/>
    <col min="5" max="5" width="26.140625" style="3" customWidth="1"/>
    <col min="6" max="7" width="16.28515625" style="3" customWidth="1"/>
    <col min="8" max="8" width="16.28515625" customWidth="1"/>
  </cols>
  <sheetData>
    <row r="1" spans="1:7" s="5" customFormat="1" ht="45.75" customHeight="1" x14ac:dyDescent="0.25">
      <c r="A1" s="4" t="s">
        <v>28</v>
      </c>
      <c r="B1" s="4" t="s">
        <v>29</v>
      </c>
      <c r="C1" s="4" t="s">
        <v>68</v>
      </c>
      <c r="D1" s="4" t="s">
        <v>69</v>
      </c>
      <c r="E1" s="3" t="s">
        <v>96</v>
      </c>
      <c r="F1" s="3" t="s">
        <v>97</v>
      </c>
      <c r="G1" s="4" t="s">
        <v>19</v>
      </c>
    </row>
    <row r="2" spans="1:7" x14ac:dyDescent="0.25">
      <c r="A2" s="3">
        <v>1</v>
      </c>
      <c r="B2" s="3">
        <v>3</v>
      </c>
      <c r="C2" s="3">
        <v>99.5</v>
      </c>
      <c r="D2" s="3">
        <v>71.5</v>
      </c>
      <c r="E2" s="3">
        <v>149.75</v>
      </c>
      <c r="F2" s="3">
        <v>83.75</v>
      </c>
      <c r="G2" s="3">
        <v>1</v>
      </c>
    </row>
    <row r="3" spans="1:7" x14ac:dyDescent="0.25">
      <c r="A3" s="3">
        <v>5</v>
      </c>
      <c r="B3" s="3">
        <v>4</v>
      </c>
      <c r="C3" s="3">
        <v>107.5</v>
      </c>
      <c r="D3" s="3">
        <v>80.5</v>
      </c>
      <c r="E3" s="3">
        <v>115.25</v>
      </c>
      <c r="F3" s="3">
        <v>88.25</v>
      </c>
      <c r="G3" s="3">
        <v>1</v>
      </c>
    </row>
    <row r="4" spans="1:7" x14ac:dyDescent="0.25">
      <c r="A4" s="3">
        <v>7</v>
      </c>
      <c r="B4" s="3">
        <v>2</v>
      </c>
      <c r="C4" s="3">
        <v>79.75</v>
      </c>
      <c r="D4" s="3">
        <v>76</v>
      </c>
      <c r="E4" s="3">
        <v>101</v>
      </c>
      <c r="F4" s="3">
        <v>79.5</v>
      </c>
      <c r="G4" s="3">
        <v>1</v>
      </c>
    </row>
    <row r="5" spans="1:7" x14ac:dyDescent="0.25">
      <c r="A5" s="3">
        <v>8</v>
      </c>
      <c r="B5" s="3">
        <v>6</v>
      </c>
      <c r="C5" s="3">
        <v>118.25</v>
      </c>
      <c r="D5" s="3">
        <v>111.25</v>
      </c>
      <c r="E5" s="3">
        <v>132</v>
      </c>
      <c r="F5" s="3">
        <v>129.75</v>
      </c>
      <c r="G5" s="3">
        <v>1</v>
      </c>
    </row>
    <row r="6" spans="1:7" x14ac:dyDescent="0.25">
      <c r="A6" s="3">
        <v>1</v>
      </c>
      <c r="B6" s="3">
        <v>8</v>
      </c>
      <c r="C6" s="3">
        <v>75</v>
      </c>
      <c r="D6" s="3">
        <v>97.25</v>
      </c>
      <c r="E6" s="3">
        <v>94.75</v>
      </c>
      <c r="F6" s="3">
        <v>127.75</v>
      </c>
      <c r="G6" s="3">
        <v>2</v>
      </c>
    </row>
    <row r="7" spans="1:7" x14ac:dyDescent="0.25">
      <c r="A7" s="3">
        <v>4</v>
      </c>
      <c r="B7" s="3">
        <v>2</v>
      </c>
      <c r="C7" s="3">
        <v>106</v>
      </c>
      <c r="D7" s="3">
        <v>98.25</v>
      </c>
      <c r="E7" s="3">
        <v>135.25</v>
      </c>
      <c r="F7" s="3">
        <v>123.25</v>
      </c>
      <c r="G7" s="3">
        <v>2</v>
      </c>
    </row>
    <row r="8" spans="1:7" x14ac:dyDescent="0.25">
      <c r="A8" s="3">
        <v>7</v>
      </c>
      <c r="B8" s="3">
        <v>3</v>
      </c>
      <c r="C8" s="3">
        <v>103.25</v>
      </c>
      <c r="D8" s="3">
        <v>95</v>
      </c>
      <c r="E8" s="3">
        <v>145.25</v>
      </c>
      <c r="F8" s="3">
        <v>100.5</v>
      </c>
      <c r="G8" s="3">
        <v>2</v>
      </c>
    </row>
    <row r="9" spans="1:7" x14ac:dyDescent="0.25">
      <c r="A9" s="3">
        <v>6</v>
      </c>
      <c r="B9" s="3">
        <v>5</v>
      </c>
      <c r="C9" s="3">
        <v>157.5</v>
      </c>
      <c r="D9" s="3">
        <v>131.25</v>
      </c>
      <c r="E9" s="3">
        <v>171</v>
      </c>
      <c r="F9" s="3">
        <v>135.5</v>
      </c>
      <c r="G9" s="3">
        <v>2</v>
      </c>
    </row>
    <row r="10" spans="1:7" x14ac:dyDescent="0.25">
      <c r="A10" s="3">
        <v>1</v>
      </c>
      <c r="B10" s="3">
        <v>5</v>
      </c>
      <c r="C10" s="3">
        <v>62.25</v>
      </c>
      <c r="D10" s="3">
        <v>103.75</v>
      </c>
      <c r="E10" s="3">
        <v>75</v>
      </c>
      <c r="F10" s="3">
        <v>120.75</v>
      </c>
      <c r="G10" s="3">
        <v>3</v>
      </c>
    </row>
    <row r="11" spans="1:7" x14ac:dyDescent="0.25">
      <c r="A11" s="3">
        <v>4</v>
      </c>
      <c r="B11" s="3">
        <v>7</v>
      </c>
      <c r="C11" s="3">
        <v>96</v>
      </c>
      <c r="D11" s="3">
        <v>101.75</v>
      </c>
      <c r="E11" s="3">
        <v>134</v>
      </c>
      <c r="F11" s="3">
        <v>116.75</v>
      </c>
      <c r="G11" s="3">
        <v>3</v>
      </c>
    </row>
    <row r="12" spans="1:7" x14ac:dyDescent="0.25">
      <c r="A12" s="3">
        <v>3</v>
      </c>
      <c r="B12" s="3">
        <v>8</v>
      </c>
      <c r="C12" s="3">
        <v>96.25</v>
      </c>
      <c r="D12" s="3">
        <v>92.5</v>
      </c>
      <c r="E12" s="3">
        <v>104.75</v>
      </c>
      <c r="F12" s="3">
        <v>124.75</v>
      </c>
      <c r="G12" s="3">
        <v>3</v>
      </c>
    </row>
    <row r="13" spans="1:7" x14ac:dyDescent="0.25">
      <c r="A13" s="3">
        <v>2</v>
      </c>
      <c r="B13" s="3">
        <v>6</v>
      </c>
      <c r="C13" s="3">
        <v>97.75</v>
      </c>
      <c r="D13" s="3">
        <v>91.5</v>
      </c>
      <c r="E13" s="3">
        <v>132.25</v>
      </c>
      <c r="F13" s="3">
        <v>116.5</v>
      </c>
      <c r="G13" s="3">
        <v>3</v>
      </c>
    </row>
    <row r="14" spans="1:7" x14ac:dyDescent="0.25">
      <c r="A14" s="3">
        <v>2</v>
      </c>
      <c r="B14" s="3">
        <v>1</v>
      </c>
      <c r="C14" s="3">
        <v>107.75</v>
      </c>
      <c r="D14" s="3">
        <v>80.75</v>
      </c>
      <c r="E14" s="3">
        <v>121.75</v>
      </c>
      <c r="F14" s="3">
        <v>114</v>
      </c>
      <c r="G14" s="3">
        <v>4</v>
      </c>
    </row>
    <row r="15" spans="1:7" x14ac:dyDescent="0.25">
      <c r="A15" s="3">
        <v>4</v>
      </c>
      <c r="B15" s="3">
        <v>6</v>
      </c>
      <c r="C15" s="3">
        <v>166.5</v>
      </c>
      <c r="D15" s="3">
        <v>96</v>
      </c>
      <c r="E15" s="3">
        <v>183</v>
      </c>
      <c r="F15" s="3">
        <v>139.5</v>
      </c>
      <c r="G15" s="3">
        <v>4</v>
      </c>
    </row>
    <row r="16" spans="1:7" x14ac:dyDescent="0.25">
      <c r="A16" s="3">
        <v>7</v>
      </c>
      <c r="B16" s="3">
        <v>8</v>
      </c>
      <c r="C16" s="3">
        <v>136.75</v>
      </c>
      <c r="D16" s="3">
        <v>78.5</v>
      </c>
      <c r="E16" s="3">
        <v>162.25</v>
      </c>
      <c r="F16" s="3">
        <v>105.75</v>
      </c>
      <c r="G16" s="3">
        <v>4</v>
      </c>
    </row>
    <row r="17" spans="1:7" x14ac:dyDescent="0.25">
      <c r="A17" s="3">
        <v>3</v>
      </c>
      <c r="B17" s="3">
        <v>5</v>
      </c>
      <c r="C17" s="3">
        <v>90.75</v>
      </c>
      <c r="D17" s="3">
        <v>78.25</v>
      </c>
      <c r="E17" s="3">
        <v>117.25</v>
      </c>
      <c r="F17" s="3">
        <v>99.5</v>
      </c>
      <c r="G17" s="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BBF9-15A1-4BF0-95EE-95BBAF4D7DE0}">
  <dimension ref="A1:H15"/>
  <sheetViews>
    <sheetView zoomScale="175" zoomScaleNormal="175" workbookViewId="0">
      <selection activeCell="A9" sqref="A9"/>
    </sheetView>
  </sheetViews>
  <sheetFormatPr defaultRowHeight="15" x14ac:dyDescent="0.25"/>
  <cols>
    <col min="1" max="8" width="22.28515625" customWidth="1"/>
  </cols>
  <sheetData>
    <row r="1" spans="1:8" x14ac:dyDescent="0.25">
      <c r="A1" t="s">
        <v>22</v>
      </c>
      <c r="B1" t="s">
        <v>20</v>
      </c>
      <c r="C1" t="s">
        <v>21</v>
      </c>
      <c r="D1" t="s">
        <v>23</v>
      </c>
      <c r="E1" t="s">
        <v>24</v>
      </c>
      <c r="F1" t="s">
        <v>25</v>
      </c>
      <c r="G1" t="s">
        <v>27</v>
      </c>
      <c r="H1" t="s">
        <v>79</v>
      </c>
    </row>
    <row r="2" spans="1:8" x14ac:dyDescent="0.25">
      <c r="A2">
        <v>1</v>
      </c>
      <c r="F2" t="s">
        <v>26</v>
      </c>
      <c r="G2">
        <v>1</v>
      </c>
      <c r="H2" s="2" t="s">
        <v>80</v>
      </c>
    </row>
    <row r="3" spans="1:8" x14ac:dyDescent="0.25">
      <c r="A3">
        <v>2</v>
      </c>
      <c r="F3" t="s">
        <v>26</v>
      </c>
      <c r="G3">
        <v>1</v>
      </c>
      <c r="H3" t="s">
        <v>81</v>
      </c>
    </row>
    <row r="4" spans="1:8" x14ac:dyDescent="0.25">
      <c r="A4">
        <v>3</v>
      </c>
      <c r="F4" t="s">
        <v>26</v>
      </c>
      <c r="G4">
        <v>1</v>
      </c>
      <c r="H4" t="s">
        <v>82</v>
      </c>
    </row>
    <row r="5" spans="1:8" x14ac:dyDescent="0.25">
      <c r="A5">
        <v>4</v>
      </c>
      <c r="F5" t="s">
        <v>26</v>
      </c>
      <c r="G5">
        <v>1</v>
      </c>
      <c r="H5" t="s">
        <v>83</v>
      </c>
    </row>
    <row r="6" spans="1:8" x14ac:dyDescent="0.25">
      <c r="A6">
        <v>5</v>
      </c>
      <c r="F6" t="s">
        <v>26</v>
      </c>
      <c r="G6">
        <v>2</v>
      </c>
      <c r="H6" t="s">
        <v>84</v>
      </c>
    </row>
    <row r="7" spans="1:8" x14ac:dyDescent="0.25">
      <c r="A7">
        <v>6</v>
      </c>
      <c r="F7" t="s">
        <v>26</v>
      </c>
      <c r="G7">
        <v>2</v>
      </c>
      <c r="H7" t="s">
        <v>85</v>
      </c>
    </row>
    <row r="8" spans="1:8" x14ac:dyDescent="0.25">
      <c r="A8">
        <v>7</v>
      </c>
      <c r="F8" t="s">
        <v>26</v>
      </c>
      <c r="G8">
        <v>2</v>
      </c>
      <c r="H8" t="s">
        <v>86</v>
      </c>
    </row>
    <row r="9" spans="1:8" x14ac:dyDescent="0.25">
      <c r="A9">
        <v>8</v>
      </c>
      <c r="F9" t="s">
        <v>26</v>
      </c>
      <c r="G9">
        <v>2</v>
      </c>
      <c r="H9" t="s">
        <v>87</v>
      </c>
    </row>
    <row r="10" spans="1:8" x14ac:dyDescent="0.25">
      <c r="A10">
        <v>9</v>
      </c>
      <c r="F10" t="s">
        <v>94</v>
      </c>
      <c r="G10">
        <v>1</v>
      </c>
      <c r="H10" t="s">
        <v>88</v>
      </c>
    </row>
    <row r="11" spans="1:8" x14ac:dyDescent="0.25">
      <c r="A11">
        <v>10</v>
      </c>
      <c r="F11" t="s">
        <v>94</v>
      </c>
      <c r="G11">
        <v>1</v>
      </c>
      <c r="H11" t="s">
        <v>89</v>
      </c>
    </row>
    <row r="12" spans="1:8" x14ac:dyDescent="0.25">
      <c r="A12">
        <v>11</v>
      </c>
      <c r="F12" t="s">
        <v>94</v>
      </c>
      <c r="G12">
        <v>2</v>
      </c>
      <c r="H12" t="s">
        <v>90</v>
      </c>
    </row>
    <row r="13" spans="1:8" x14ac:dyDescent="0.25">
      <c r="A13">
        <v>12</v>
      </c>
      <c r="F13" t="s">
        <v>94</v>
      </c>
      <c r="G13">
        <v>2</v>
      </c>
      <c r="H13" t="s">
        <v>91</v>
      </c>
    </row>
    <row r="14" spans="1:8" x14ac:dyDescent="0.25">
      <c r="A14">
        <v>13</v>
      </c>
      <c r="F14" t="s">
        <v>95</v>
      </c>
      <c r="G14">
        <v>1</v>
      </c>
      <c r="H14" t="s">
        <v>92</v>
      </c>
    </row>
    <row r="15" spans="1:8" x14ac:dyDescent="0.25">
      <c r="A15">
        <v>14</v>
      </c>
      <c r="F15" t="s">
        <v>95</v>
      </c>
      <c r="G15">
        <v>2</v>
      </c>
      <c r="H15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21E41-8143-4B31-AF43-B1572AB93726}">
  <dimension ref="A1:E47"/>
  <sheetViews>
    <sheetView workbookViewId="0">
      <selection activeCell="D48" sqref="D48"/>
    </sheetView>
  </sheetViews>
  <sheetFormatPr defaultRowHeight="15" x14ac:dyDescent="0.25"/>
  <cols>
    <col min="1" max="1" width="12.42578125" customWidth="1"/>
    <col min="2" max="2" width="13.7109375" bestFit="1" customWidth="1"/>
    <col min="3" max="3" width="9.7109375" style="1" bestFit="1" customWidth="1"/>
    <col min="4" max="4" width="22.85546875" bestFit="1" customWidth="1"/>
    <col min="5" max="5" width="12.42578125" customWidth="1"/>
  </cols>
  <sheetData>
    <row r="1" spans="1:5" x14ac:dyDescent="0.25">
      <c r="A1" t="s">
        <v>34</v>
      </c>
      <c r="B1" t="s">
        <v>30</v>
      </c>
      <c r="C1" s="1" t="s">
        <v>31</v>
      </c>
      <c r="D1" t="s">
        <v>32</v>
      </c>
      <c r="E1" t="s">
        <v>33</v>
      </c>
    </row>
    <row r="2" spans="1:5" x14ac:dyDescent="0.25">
      <c r="A2">
        <v>1</v>
      </c>
      <c r="B2">
        <v>1</v>
      </c>
      <c r="C2" s="1">
        <v>46258</v>
      </c>
      <c r="D2" t="s">
        <v>35</v>
      </c>
      <c r="E2">
        <v>0</v>
      </c>
    </row>
    <row r="3" spans="1:5" x14ac:dyDescent="0.25">
      <c r="A3">
        <v>1</v>
      </c>
      <c r="B3">
        <v>2</v>
      </c>
      <c r="C3" s="1">
        <v>46258</v>
      </c>
      <c r="D3" t="s">
        <v>36</v>
      </c>
      <c r="E3">
        <v>125</v>
      </c>
    </row>
    <row r="4" spans="1:5" x14ac:dyDescent="0.25">
      <c r="A4">
        <v>1</v>
      </c>
      <c r="B4">
        <v>3</v>
      </c>
      <c r="C4" s="1">
        <v>46258</v>
      </c>
      <c r="D4" t="s">
        <v>37</v>
      </c>
      <c r="E4">
        <v>280</v>
      </c>
    </row>
    <row r="5" spans="1:5" x14ac:dyDescent="0.25">
      <c r="A5">
        <v>1</v>
      </c>
      <c r="B5">
        <v>4</v>
      </c>
      <c r="C5" s="1">
        <v>46258</v>
      </c>
      <c r="D5" t="s">
        <v>38</v>
      </c>
      <c r="E5">
        <v>53</v>
      </c>
    </row>
    <row r="6" spans="1:5" x14ac:dyDescent="0.25">
      <c r="A6">
        <v>1</v>
      </c>
      <c r="B6">
        <v>5</v>
      </c>
      <c r="C6" s="1">
        <v>46265</v>
      </c>
      <c r="D6" t="s">
        <v>39</v>
      </c>
      <c r="E6">
        <v>67</v>
      </c>
    </row>
    <row r="7" spans="1:5" x14ac:dyDescent="0.25">
      <c r="A7">
        <v>1</v>
      </c>
      <c r="B7">
        <v>6</v>
      </c>
      <c r="C7" s="1">
        <v>46265</v>
      </c>
      <c r="D7" t="s">
        <v>40</v>
      </c>
      <c r="E7">
        <v>3</v>
      </c>
    </row>
    <row r="8" spans="1:5" x14ac:dyDescent="0.25">
      <c r="A8">
        <v>1</v>
      </c>
      <c r="B8">
        <v>7</v>
      </c>
      <c r="C8" s="1">
        <v>46267</v>
      </c>
      <c r="D8" t="s">
        <v>41</v>
      </c>
      <c r="E8">
        <v>197</v>
      </c>
    </row>
    <row r="9" spans="1:5" x14ac:dyDescent="0.25">
      <c r="A9">
        <v>2</v>
      </c>
      <c r="B9">
        <v>8</v>
      </c>
      <c r="C9" s="1">
        <v>46265</v>
      </c>
      <c r="D9" t="s">
        <v>42</v>
      </c>
      <c r="E9">
        <v>200</v>
      </c>
    </row>
    <row r="10" spans="1:5" x14ac:dyDescent="0.25">
      <c r="A10">
        <v>2</v>
      </c>
      <c r="B10">
        <v>9</v>
      </c>
      <c r="C10" s="1">
        <v>46265</v>
      </c>
      <c r="D10" t="s">
        <v>43</v>
      </c>
      <c r="E10">
        <v>200</v>
      </c>
    </row>
    <row r="11" spans="1:5" x14ac:dyDescent="0.25">
      <c r="A11">
        <v>3</v>
      </c>
      <c r="B11">
        <v>10</v>
      </c>
      <c r="C11" s="1">
        <v>46266</v>
      </c>
      <c r="D11" t="s">
        <v>44</v>
      </c>
      <c r="E11">
        <v>1120</v>
      </c>
    </row>
    <row r="12" spans="1:5" x14ac:dyDescent="0.25">
      <c r="A12">
        <v>4</v>
      </c>
      <c r="B12">
        <v>11</v>
      </c>
      <c r="C12" s="1">
        <v>46258</v>
      </c>
      <c r="D12" t="s">
        <v>45</v>
      </c>
      <c r="E12">
        <v>43</v>
      </c>
    </row>
    <row r="13" spans="1:5" x14ac:dyDescent="0.25">
      <c r="A13">
        <v>4</v>
      </c>
      <c r="B13">
        <v>12</v>
      </c>
      <c r="C13" s="1">
        <v>46258</v>
      </c>
      <c r="D13" t="s">
        <v>46</v>
      </c>
      <c r="E13">
        <v>73</v>
      </c>
    </row>
    <row r="14" spans="1:5" x14ac:dyDescent="0.25">
      <c r="A14">
        <v>4</v>
      </c>
      <c r="B14">
        <v>13</v>
      </c>
      <c r="C14" s="1">
        <v>46258</v>
      </c>
      <c r="D14" t="s">
        <v>47</v>
      </c>
      <c r="E14">
        <v>73</v>
      </c>
    </row>
    <row r="15" spans="1:5" x14ac:dyDescent="0.25">
      <c r="A15">
        <v>4</v>
      </c>
      <c r="B15">
        <v>14</v>
      </c>
      <c r="C15" s="1">
        <v>46261</v>
      </c>
      <c r="D15" t="s">
        <v>48</v>
      </c>
      <c r="E15">
        <v>15</v>
      </c>
    </row>
    <row r="16" spans="1:5" x14ac:dyDescent="0.25">
      <c r="A16">
        <v>5</v>
      </c>
      <c r="B16">
        <v>15</v>
      </c>
      <c r="C16" s="1">
        <v>46258</v>
      </c>
      <c r="D16" t="s">
        <v>49</v>
      </c>
      <c r="E16">
        <v>36</v>
      </c>
    </row>
    <row r="17" spans="1:5" x14ac:dyDescent="0.25">
      <c r="A17">
        <v>5</v>
      </c>
      <c r="B17">
        <v>16</v>
      </c>
      <c r="C17" s="1">
        <v>46258</v>
      </c>
      <c r="D17" t="s">
        <v>50</v>
      </c>
      <c r="E17">
        <v>131</v>
      </c>
    </row>
    <row r="18" spans="1:5" x14ac:dyDescent="0.25">
      <c r="A18">
        <v>5</v>
      </c>
      <c r="B18">
        <v>17</v>
      </c>
      <c r="C18" s="1">
        <v>46258</v>
      </c>
      <c r="D18" t="s">
        <v>51</v>
      </c>
      <c r="E18">
        <v>66</v>
      </c>
    </row>
    <row r="19" spans="1:5" x14ac:dyDescent="0.25">
      <c r="A19">
        <v>5</v>
      </c>
      <c r="B19">
        <v>18</v>
      </c>
      <c r="C19" s="1">
        <v>46258</v>
      </c>
      <c r="D19" t="s">
        <v>52</v>
      </c>
      <c r="E19">
        <v>152</v>
      </c>
    </row>
    <row r="20" spans="1:5" x14ac:dyDescent="0.25">
      <c r="A20">
        <v>5</v>
      </c>
      <c r="B20">
        <v>19</v>
      </c>
      <c r="C20" s="1">
        <v>46258</v>
      </c>
      <c r="D20" t="s">
        <v>53</v>
      </c>
      <c r="E20">
        <v>251</v>
      </c>
    </row>
    <row r="21" spans="1:5" x14ac:dyDescent="0.25">
      <c r="A21">
        <v>5</v>
      </c>
      <c r="B21">
        <v>20</v>
      </c>
      <c r="C21" s="1">
        <v>46265</v>
      </c>
      <c r="D21" t="s">
        <v>54</v>
      </c>
      <c r="E21">
        <v>163</v>
      </c>
    </row>
    <row r="22" spans="1:5" x14ac:dyDescent="0.25">
      <c r="A22">
        <v>5</v>
      </c>
      <c r="B22">
        <v>21</v>
      </c>
      <c r="C22" s="1">
        <v>46265</v>
      </c>
      <c r="D22" t="s">
        <v>55</v>
      </c>
      <c r="E22">
        <v>50</v>
      </c>
    </row>
    <row r="23" spans="1:5" x14ac:dyDescent="0.25">
      <c r="A23">
        <v>5</v>
      </c>
      <c r="B23">
        <v>22</v>
      </c>
      <c r="C23" s="1">
        <v>46267</v>
      </c>
      <c r="D23" t="s">
        <v>56</v>
      </c>
      <c r="E23">
        <v>100</v>
      </c>
    </row>
    <row r="24" spans="1:5" x14ac:dyDescent="0.25">
      <c r="A24">
        <v>5</v>
      </c>
      <c r="B24">
        <v>23</v>
      </c>
      <c r="C24" s="1">
        <v>46267</v>
      </c>
      <c r="D24" t="s">
        <v>57</v>
      </c>
      <c r="E24">
        <v>96</v>
      </c>
    </row>
    <row r="25" spans="1:5" x14ac:dyDescent="0.25">
      <c r="A25">
        <v>6</v>
      </c>
      <c r="B25">
        <v>24</v>
      </c>
      <c r="C25" s="1">
        <v>46258</v>
      </c>
      <c r="D25" t="s">
        <v>58</v>
      </c>
      <c r="E25">
        <v>76</v>
      </c>
    </row>
    <row r="26" spans="1:5" x14ac:dyDescent="0.25">
      <c r="A26">
        <v>6</v>
      </c>
      <c r="B26">
        <v>25</v>
      </c>
      <c r="C26" s="1">
        <v>46258</v>
      </c>
      <c r="D26" t="s">
        <v>59</v>
      </c>
      <c r="E26">
        <v>267</v>
      </c>
    </row>
    <row r="27" spans="1:5" x14ac:dyDescent="0.25">
      <c r="A27">
        <v>6</v>
      </c>
      <c r="B27">
        <v>26</v>
      </c>
      <c r="C27" s="1">
        <v>46265</v>
      </c>
      <c r="D27" t="s">
        <v>60</v>
      </c>
      <c r="E27">
        <v>6</v>
      </c>
    </row>
    <row r="28" spans="1:5" x14ac:dyDescent="0.25">
      <c r="A28">
        <v>6</v>
      </c>
      <c r="B28">
        <v>27</v>
      </c>
      <c r="C28" s="1">
        <v>46265</v>
      </c>
      <c r="D28" t="s">
        <v>61</v>
      </c>
      <c r="E28">
        <v>7</v>
      </c>
    </row>
    <row r="29" spans="1:5" x14ac:dyDescent="0.25">
      <c r="A29">
        <v>7</v>
      </c>
      <c r="B29">
        <v>28</v>
      </c>
      <c r="C29" s="1">
        <v>46258</v>
      </c>
      <c r="D29" t="s">
        <v>62</v>
      </c>
      <c r="E29">
        <v>20</v>
      </c>
    </row>
    <row r="30" spans="1:5" x14ac:dyDescent="0.25">
      <c r="A30">
        <v>7</v>
      </c>
      <c r="B30">
        <v>29</v>
      </c>
      <c r="C30" s="1">
        <v>46258</v>
      </c>
      <c r="D30" t="s">
        <v>63</v>
      </c>
      <c r="E30">
        <v>20</v>
      </c>
    </row>
    <row r="31" spans="1:5" x14ac:dyDescent="0.25">
      <c r="A31">
        <v>8</v>
      </c>
      <c r="B31">
        <v>30</v>
      </c>
      <c r="C31" s="1">
        <v>46258</v>
      </c>
      <c r="D31" t="s">
        <v>64</v>
      </c>
      <c r="E31">
        <v>111</v>
      </c>
    </row>
    <row r="32" spans="1:5" x14ac:dyDescent="0.25">
      <c r="A32">
        <v>8</v>
      </c>
      <c r="B32">
        <v>31</v>
      </c>
      <c r="C32" s="1">
        <v>46258</v>
      </c>
      <c r="D32" t="s">
        <v>65</v>
      </c>
      <c r="E32">
        <v>105</v>
      </c>
    </row>
    <row r="33" spans="1:5" x14ac:dyDescent="0.25">
      <c r="A33">
        <v>8</v>
      </c>
      <c r="B33">
        <v>32</v>
      </c>
      <c r="C33" s="1">
        <v>46262</v>
      </c>
      <c r="D33" t="s">
        <v>66</v>
      </c>
      <c r="E33">
        <v>6</v>
      </c>
    </row>
    <row r="34" spans="1:5" x14ac:dyDescent="0.25">
      <c r="A34">
        <v>8</v>
      </c>
      <c r="B34">
        <v>33</v>
      </c>
      <c r="C34" s="1">
        <v>46265</v>
      </c>
      <c r="D34" t="s">
        <v>67</v>
      </c>
      <c r="E34">
        <v>53</v>
      </c>
    </row>
    <row r="35" spans="1:5" x14ac:dyDescent="0.25">
      <c r="A35">
        <v>1</v>
      </c>
      <c r="B35">
        <v>34</v>
      </c>
      <c r="C35" s="1">
        <v>46271</v>
      </c>
      <c r="D35" t="s">
        <v>70</v>
      </c>
      <c r="E35">
        <v>57</v>
      </c>
    </row>
    <row r="36" spans="1:5" x14ac:dyDescent="0.25">
      <c r="A36">
        <v>1</v>
      </c>
      <c r="B36">
        <v>35</v>
      </c>
      <c r="C36" s="1">
        <v>46271</v>
      </c>
      <c r="D36" t="s">
        <v>71</v>
      </c>
      <c r="E36">
        <v>0</v>
      </c>
    </row>
    <row r="37" spans="1:5" x14ac:dyDescent="0.25">
      <c r="A37">
        <v>5</v>
      </c>
      <c r="B37">
        <v>36</v>
      </c>
      <c r="C37" s="1">
        <v>46271</v>
      </c>
      <c r="D37" t="s">
        <v>51</v>
      </c>
      <c r="E37">
        <v>5</v>
      </c>
    </row>
    <row r="38" spans="1:5" x14ac:dyDescent="0.25">
      <c r="A38">
        <v>2</v>
      </c>
      <c r="B38">
        <v>37</v>
      </c>
      <c r="C38" s="1">
        <v>46279</v>
      </c>
      <c r="D38" t="s">
        <v>107</v>
      </c>
      <c r="E38">
        <v>100</v>
      </c>
    </row>
    <row r="39" spans="1:5" x14ac:dyDescent="0.25">
      <c r="A39">
        <v>8</v>
      </c>
      <c r="B39">
        <v>38</v>
      </c>
      <c r="C39" s="1">
        <v>46279</v>
      </c>
      <c r="D39" t="s">
        <v>108</v>
      </c>
      <c r="E39">
        <v>115</v>
      </c>
    </row>
    <row r="40" spans="1:5" x14ac:dyDescent="0.25">
      <c r="A40">
        <v>8</v>
      </c>
      <c r="B40">
        <v>39</v>
      </c>
      <c r="C40" s="1">
        <v>46279</v>
      </c>
      <c r="D40" t="s">
        <v>109</v>
      </c>
      <c r="E40">
        <v>195</v>
      </c>
    </row>
    <row r="41" spans="1:5" x14ac:dyDescent="0.25">
      <c r="A41">
        <v>1</v>
      </c>
      <c r="B41">
        <v>40</v>
      </c>
      <c r="C41" s="1">
        <v>46279</v>
      </c>
      <c r="D41" t="s">
        <v>110</v>
      </c>
      <c r="E41">
        <v>1</v>
      </c>
    </row>
    <row r="42" spans="1:5" x14ac:dyDescent="0.25">
      <c r="A42">
        <v>5</v>
      </c>
      <c r="B42">
        <v>41</v>
      </c>
      <c r="C42" s="1">
        <v>46279</v>
      </c>
      <c r="D42" t="s">
        <v>111</v>
      </c>
      <c r="E42">
        <v>160</v>
      </c>
    </row>
    <row r="43" spans="1:5" x14ac:dyDescent="0.25">
      <c r="A43">
        <v>8</v>
      </c>
      <c r="B43">
        <v>42</v>
      </c>
      <c r="C43" s="1">
        <v>46279</v>
      </c>
      <c r="D43" t="s">
        <v>112</v>
      </c>
      <c r="E43">
        <v>115</v>
      </c>
    </row>
    <row r="44" spans="1:5" x14ac:dyDescent="0.25">
      <c r="A44">
        <v>5</v>
      </c>
      <c r="B44">
        <v>43</v>
      </c>
      <c r="C44" s="1">
        <v>46279</v>
      </c>
      <c r="D44" t="s">
        <v>53</v>
      </c>
      <c r="E44">
        <v>16</v>
      </c>
    </row>
    <row r="45" spans="1:5" x14ac:dyDescent="0.25">
      <c r="A45">
        <v>5</v>
      </c>
      <c r="B45">
        <v>44</v>
      </c>
      <c r="C45" s="1">
        <v>46279</v>
      </c>
      <c r="D45" t="s">
        <v>113</v>
      </c>
      <c r="E45">
        <v>2</v>
      </c>
    </row>
    <row r="46" spans="1:5" x14ac:dyDescent="0.25">
      <c r="A46">
        <v>2</v>
      </c>
      <c r="B46">
        <v>45</v>
      </c>
      <c r="C46" s="1">
        <v>46279</v>
      </c>
      <c r="D46" t="s">
        <v>45</v>
      </c>
      <c r="E46">
        <v>50</v>
      </c>
    </row>
    <row r="47" spans="1:5" x14ac:dyDescent="0.25">
      <c r="A47">
        <v>2</v>
      </c>
      <c r="B47">
        <v>46</v>
      </c>
      <c r="C47" s="1">
        <v>46279</v>
      </c>
      <c r="D47" t="s">
        <v>65</v>
      </c>
      <c r="E47">
        <v>50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2ED84-60A7-4A50-A5DA-14C897D6AA35}">
  <dimension ref="A1:F24"/>
  <sheetViews>
    <sheetView workbookViewId="0">
      <selection activeCell="F12" sqref="F12"/>
    </sheetView>
  </sheetViews>
  <sheetFormatPr defaultRowHeight="15" x14ac:dyDescent="0.25"/>
  <cols>
    <col min="1" max="1" width="16.28515625" bestFit="1" customWidth="1"/>
    <col min="2" max="3" width="30.28515625" bestFit="1" customWidth="1"/>
    <col min="4" max="6" width="30.28515625" customWidth="1"/>
  </cols>
  <sheetData>
    <row r="1" spans="1:6" x14ac:dyDescent="0.25">
      <c r="A1" s="7" t="s">
        <v>28</v>
      </c>
      <c r="B1" t="s">
        <v>117</v>
      </c>
    </row>
    <row r="2" spans="1:6" x14ac:dyDescent="0.25">
      <c r="A2">
        <v>1</v>
      </c>
      <c r="B2" s="6">
        <v>319.5</v>
      </c>
    </row>
    <row r="3" spans="1:6" x14ac:dyDescent="0.25">
      <c r="A3">
        <v>2</v>
      </c>
      <c r="B3" s="6">
        <v>132.25</v>
      </c>
    </row>
    <row r="4" spans="1:6" x14ac:dyDescent="0.25">
      <c r="A4">
        <v>3</v>
      </c>
      <c r="B4" s="6">
        <v>104.75</v>
      </c>
    </row>
    <row r="5" spans="1:6" x14ac:dyDescent="0.25">
      <c r="A5">
        <v>4</v>
      </c>
      <c r="B5" s="6">
        <v>269.25</v>
      </c>
      <c r="D5">
        <f>GETPIVOTDATA("Home_team_best_lineup",A1,"home_team_id",1)-GETPIVOTDATA("Away_team_best_lineup",A14,"away_team_id",1)</f>
        <v>319.5</v>
      </c>
      <c r="E5">
        <f>VLOOKUP(A2,Teams!A:F,6,0)</f>
        <v>433.5</v>
      </c>
      <c r="F5">
        <f>E5-D5</f>
        <v>114</v>
      </c>
    </row>
    <row r="6" spans="1:6" x14ac:dyDescent="0.25">
      <c r="A6">
        <v>5</v>
      </c>
      <c r="B6" s="6">
        <v>115.25</v>
      </c>
      <c r="D6">
        <f>GETPIVOTDATA("Home_team_best_lineup",$A$1,"home_team_id",2)+GETPIVOTDATA("Away_team_best_lineup",$A$14,"away_team_id",2)</f>
        <v>335</v>
      </c>
      <c r="E6">
        <f>VLOOKUP(A3,Teams!A:F,6,0)</f>
        <v>456.75</v>
      </c>
      <c r="F6">
        <f>E6-D6</f>
        <v>121.75</v>
      </c>
    </row>
    <row r="7" spans="1:6" x14ac:dyDescent="0.25">
      <c r="A7">
        <v>6</v>
      </c>
      <c r="B7" s="6">
        <v>171</v>
      </c>
      <c r="D7">
        <f>GETPIVOTDATA("Home_team_best_lineup",$A$1,"home_team_id",3)+GETPIVOTDATA("Away_team_best_lineup",$A$14,"away_team_id",3)</f>
        <v>289</v>
      </c>
      <c r="E7">
        <f>VLOOKUP(A4,Teams!A:F,6,0)</f>
        <v>406.25</v>
      </c>
      <c r="F7">
        <f t="shared" ref="F6:F12" si="0">E7-D7</f>
        <v>117.25</v>
      </c>
    </row>
    <row r="8" spans="1:6" x14ac:dyDescent="0.25">
      <c r="A8">
        <v>7</v>
      </c>
      <c r="B8" s="6">
        <v>246.25</v>
      </c>
      <c r="D8">
        <f>GETPIVOTDATA("Home_team_best_lineup",$A$1,"home_team_id",4)+GETPIVOTDATA("Away_team_best_lineup",$A$14,"away_team_id",4)</f>
        <v>357.5</v>
      </c>
      <c r="E8">
        <f>VLOOKUP(A5,Teams!A:F,6,0)</f>
        <v>540.5</v>
      </c>
      <c r="F8">
        <f t="shared" si="0"/>
        <v>183</v>
      </c>
    </row>
    <row r="9" spans="1:6" x14ac:dyDescent="0.25">
      <c r="A9">
        <v>8</v>
      </c>
      <c r="B9" s="6">
        <v>132</v>
      </c>
      <c r="D9">
        <f>GETPIVOTDATA("Home_team_best_lineup",$A$1,"home_team_id",5)+GETPIVOTDATA("Away_team_best_lineup",$A$14,"away_team_id",5)</f>
        <v>371.5</v>
      </c>
      <c r="E9">
        <f>VLOOKUP(A6,Teams!A:F,6,0)</f>
        <v>471</v>
      </c>
      <c r="F9">
        <f t="shared" si="0"/>
        <v>99.5</v>
      </c>
    </row>
    <row r="10" spans="1:6" x14ac:dyDescent="0.25">
      <c r="A10" t="s">
        <v>114</v>
      </c>
      <c r="B10" s="6"/>
      <c r="D10">
        <f>+GETPIVOTDATA("Home_team_best_lineup",$A$1,"home_team_id",6)+GETPIVOTDATA("Away_team_best_lineup",$A$14,"away_team_id",6)</f>
        <v>417.25</v>
      </c>
      <c r="E10">
        <f>VLOOKUP(A7,Teams!A:F,6,0)</f>
        <v>556.75</v>
      </c>
      <c r="F10">
        <f t="shared" si="0"/>
        <v>139.5</v>
      </c>
    </row>
    <row r="11" spans="1:6" x14ac:dyDescent="0.25">
      <c r="A11" t="s">
        <v>115</v>
      </c>
      <c r="B11" s="6">
        <v>1490.25</v>
      </c>
      <c r="D11">
        <f>+GETPIVOTDATA("Home_team_best_lineup",$A$1,"home_team_id",7)+GETPIVOTDATA("Away_team_best_lineup",$A$14,"away_team_id",7)</f>
        <v>363</v>
      </c>
      <c r="E11">
        <f>VLOOKUP(A8,Teams!A:F,6,0)</f>
        <v>525.25</v>
      </c>
      <c r="F11">
        <f t="shared" si="0"/>
        <v>162.25</v>
      </c>
    </row>
    <row r="12" spans="1:6" x14ac:dyDescent="0.25">
      <c r="D12">
        <f>+GETPIVOTDATA("Away_team_best_lineup",$A$14,"away_team_id",8)+GETPIVOTDATA("Home_team_best_lineup",$A$1,"home_team_id",8)</f>
        <v>384.5</v>
      </c>
      <c r="E12">
        <f>VLOOKUP(A9,Teams!A:F,6,0)</f>
        <v>490.25</v>
      </c>
      <c r="F12">
        <f t="shared" si="0"/>
        <v>105.75</v>
      </c>
    </row>
    <row r="14" spans="1:6" x14ac:dyDescent="0.25">
      <c r="A14" s="7" t="s">
        <v>29</v>
      </c>
      <c r="B14" t="s">
        <v>118</v>
      </c>
    </row>
    <row r="15" spans="1:6" x14ac:dyDescent="0.25">
      <c r="A15">
        <v>1</v>
      </c>
      <c r="B15" s="6"/>
    </row>
    <row r="16" spans="1:6" x14ac:dyDescent="0.25">
      <c r="A16">
        <v>2</v>
      </c>
      <c r="B16" s="6">
        <v>202.75</v>
      </c>
    </row>
    <row r="17" spans="1:2" x14ac:dyDescent="0.25">
      <c r="A17">
        <v>3</v>
      </c>
      <c r="B17" s="6">
        <v>184.25</v>
      </c>
    </row>
    <row r="18" spans="1:2" x14ac:dyDescent="0.25">
      <c r="A18">
        <v>4</v>
      </c>
      <c r="B18" s="6">
        <v>88.25</v>
      </c>
    </row>
    <row r="19" spans="1:2" x14ac:dyDescent="0.25">
      <c r="A19">
        <v>5</v>
      </c>
      <c r="B19" s="6">
        <v>256.25</v>
      </c>
    </row>
    <row r="20" spans="1:2" x14ac:dyDescent="0.25">
      <c r="A20">
        <v>6</v>
      </c>
      <c r="B20" s="6">
        <v>246.25</v>
      </c>
    </row>
    <row r="21" spans="1:2" x14ac:dyDescent="0.25">
      <c r="A21">
        <v>7</v>
      </c>
      <c r="B21" s="6">
        <v>116.75</v>
      </c>
    </row>
    <row r="22" spans="1:2" x14ac:dyDescent="0.25">
      <c r="A22">
        <v>8</v>
      </c>
      <c r="B22" s="6">
        <v>252.5</v>
      </c>
    </row>
    <row r="23" spans="1:2" x14ac:dyDescent="0.25">
      <c r="A23" t="s">
        <v>114</v>
      </c>
      <c r="B23" s="6"/>
    </row>
    <row r="24" spans="1:2" x14ac:dyDescent="0.25">
      <c r="A24" t="s">
        <v>115</v>
      </c>
      <c r="B24" s="6">
        <v>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Teams</vt:lpstr>
      <vt:lpstr>Matchups</vt:lpstr>
      <vt:lpstr>Cup</vt:lpstr>
      <vt:lpstr>Waivers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 Nico</dc:creator>
  <cp:lastModifiedBy>Not Nico</cp:lastModifiedBy>
  <dcterms:created xsi:type="dcterms:W3CDTF">2026-09-05T23:42:58Z</dcterms:created>
  <dcterms:modified xsi:type="dcterms:W3CDTF">2026-09-15T20:08:19Z</dcterms:modified>
</cp:coreProperties>
</file>